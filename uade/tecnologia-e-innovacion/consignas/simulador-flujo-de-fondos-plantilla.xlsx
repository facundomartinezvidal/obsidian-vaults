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/Users/Pietr/Desktop/"/>
    </mc:Choice>
  </mc:AlternateContent>
  <xr:revisionPtr revIDLastSave="181" documentId="13_ncr:1_{B69BE4B7-1033-A14A-8751-90D6835DB51F}" xr6:coauthVersionLast="47" xr6:coauthVersionMax="47" xr10:uidLastSave="{3DDECDC6-D868-4C9C-90EA-34954D9DDF7A}"/>
  <bookViews>
    <workbookView xWindow="0" yWindow="0" windowWidth="28800" windowHeight="18000" firstSheet="3" activeTab="3" xr2:uid="{57BF8B25-A766-764F-BF58-25164CD9A54B}"/>
  </bookViews>
  <sheets>
    <sheet name="Tabla" sheetId="2" r:id="rId1"/>
    <sheet name="PUNTO DE EQUILIBRIO" sheetId="4" r:id="rId2"/>
    <sheet name="Tabla Empleados" sheetId="3" r:id="rId3"/>
    <sheet name="FF Ejemplo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33" i="1"/>
  <c r="B19" i="1"/>
  <c r="I23" i="3"/>
  <c r="E23" i="3"/>
  <c r="F23" i="3"/>
  <c r="G23" i="3"/>
  <c r="H23" i="3"/>
  <c r="I3" i="3"/>
  <c r="I6" i="3"/>
  <c r="I7" i="3"/>
  <c r="I10" i="3"/>
  <c r="I11" i="3"/>
  <c r="I14" i="3"/>
  <c r="I15" i="3"/>
  <c r="I18" i="3"/>
  <c r="I2" i="3"/>
  <c r="D4" i="3"/>
  <c r="D5" i="3"/>
  <c r="D8" i="3"/>
  <c r="D9" i="3"/>
  <c r="D12" i="3"/>
  <c r="D13" i="3"/>
  <c r="D16" i="3"/>
  <c r="D17" i="3"/>
  <c r="D23" i="3"/>
  <c r="C23" i="3"/>
  <c r="C16" i="3"/>
  <c r="C17" i="3" s="1"/>
  <c r="C12" i="3"/>
  <c r="C13" i="3" s="1"/>
  <c r="C8" i="3"/>
  <c r="C9" i="3" s="1"/>
  <c r="C4" i="3"/>
  <c r="C5" i="3" s="1"/>
  <c r="C6" i="1"/>
  <c r="C5" i="1"/>
  <c r="C14" i="1"/>
  <c r="C12" i="1"/>
  <c r="C4" i="1"/>
  <c r="C7" i="1" s="1"/>
  <c r="B7" i="1"/>
  <c r="B13" i="1" s="1"/>
  <c r="C13" i="1" s="1"/>
  <c r="B6" i="1"/>
  <c r="B5" i="1"/>
  <c r="B8" i="1" s="1"/>
  <c r="C52" i="1"/>
  <c r="C50" i="1"/>
  <c r="C47" i="1"/>
  <c r="C46" i="1"/>
  <c r="C45" i="1"/>
  <c r="C42" i="1"/>
  <c r="C39" i="1"/>
  <c r="C34" i="1"/>
  <c r="C28" i="1"/>
  <c r="C23" i="1"/>
  <c r="C22" i="1"/>
  <c r="C21" i="1"/>
  <c r="C20" i="1"/>
  <c r="B44" i="1"/>
  <c r="C44" i="1" s="1"/>
  <c r="C19" i="1"/>
  <c r="B38" i="1"/>
  <c r="C38" i="1" s="1"/>
  <c r="B36" i="1"/>
  <c r="C36" i="1" s="1"/>
  <c r="B24" i="1"/>
  <c r="C24" i="1" s="1"/>
  <c r="B37" i="1"/>
  <c r="C37" i="1" s="1"/>
  <c r="B35" i="1"/>
  <c r="C35" i="1" s="1"/>
  <c r="B30" i="1"/>
  <c r="C30" i="1" s="1"/>
  <c r="B29" i="1"/>
  <c r="C29" i="1" s="1"/>
  <c r="B53" i="1"/>
  <c r="C53" i="1" s="1"/>
  <c r="B51" i="1"/>
  <c r="B27" i="1"/>
  <c r="C27" i="1" s="1"/>
  <c r="B49" i="1"/>
  <c r="C49" i="1" s="1"/>
  <c r="B48" i="1"/>
  <c r="C48" i="1" s="1"/>
  <c r="B26" i="1"/>
  <c r="B25" i="1"/>
  <c r="C25" i="1" s="1"/>
  <c r="B11" i="1" l="1"/>
  <c r="B10" i="1"/>
  <c r="D19" i="3"/>
  <c r="I17" i="3"/>
  <c r="I16" i="3"/>
  <c r="I13" i="3"/>
  <c r="I12" i="3"/>
  <c r="I9" i="3"/>
  <c r="I8" i="3"/>
  <c r="I5" i="3"/>
  <c r="I4" i="3"/>
  <c r="C19" i="3"/>
  <c r="C20" i="3" s="1"/>
  <c r="C31" i="1"/>
  <c r="C11" i="1"/>
  <c r="C8" i="1"/>
  <c r="B54" i="1"/>
  <c r="C40" i="1"/>
  <c r="C51" i="1"/>
  <c r="B40" i="1"/>
  <c r="B31" i="1"/>
  <c r="I19" i="3" l="1"/>
  <c r="D20" i="3"/>
  <c r="I20" i="3" s="1"/>
  <c r="C10" i="1"/>
  <c r="C15" i="1" s="1"/>
  <c r="C16" i="1" s="1"/>
  <c r="B15" i="1"/>
  <c r="B16" i="1" s="1"/>
  <c r="B55" i="1"/>
  <c r="C54" i="1"/>
  <c r="C55" i="1" s="1"/>
  <c r="B56" i="1" l="1"/>
  <c r="C56" i="1"/>
</calcChain>
</file>

<file path=xl/sharedStrings.xml><?xml version="1.0" encoding="utf-8"?>
<sst xmlns="http://schemas.openxmlformats.org/spreadsheetml/2006/main" count="121" uniqueCount="95">
  <si>
    <t>CONCEPTO</t>
  </si>
  <si>
    <t>TIPO</t>
  </si>
  <si>
    <t>%</t>
  </si>
  <si>
    <t>IMPORTE</t>
  </si>
  <si>
    <t>IMPUESTO</t>
  </si>
  <si>
    <t>IIBB</t>
  </si>
  <si>
    <t>IVA</t>
  </si>
  <si>
    <t>DEBITO Y CREDITO</t>
  </si>
  <si>
    <t>TRANSACCIONES</t>
  </si>
  <si>
    <t>MP (10 días)</t>
  </si>
  <si>
    <t>Comisión por Cheque</t>
  </si>
  <si>
    <t>PRECIO</t>
  </si>
  <si>
    <t>Producto 1</t>
  </si>
  <si>
    <t>Producto 2</t>
  </si>
  <si>
    <t>PRECIO USD</t>
  </si>
  <si>
    <t>PUNTO DE EQULIBRO (Q)</t>
  </si>
  <si>
    <t>USD</t>
  </si>
  <si>
    <t>AÑO 1</t>
  </si>
  <si>
    <t>PREVIO VTA. UNITARIO</t>
  </si>
  <si>
    <t>COST. VARIABLE UNITARIO</t>
  </si>
  <si>
    <t>SUSCRIPCIONES POR AÑO DE EQUILIBRIO</t>
  </si>
  <si>
    <t>PUESTO</t>
  </si>
  <si>
    <t>DETALLE</t>
  </si>
  <si>
    <t xml:space="preserve">MES 1 </t>
  </si>
  <si>
    <t>MES 2</t>
  </si>
  <si>
    <t>MES 3</t>
  </si>
  <si>
    <t>MES 4</t>
  </si>
  <si>
    <t>MES 5</t>
  </si>
  <si>
    <t>X</t>
  </si>
  <si>
    <t>MES 1 3</t>
  </si>
  <si>
    <t>MES 14</t>
  </si>
  <si>
    <t>Administrativo</t>
  </si>
  <si>
    <t>Cantidad</t>
  </si>
  <si>
    <t>Remunerción neta</t>
  </si>
  <si>
    <t>Remuneración Bruta</t>
  </si>
  <si>
    <t>Total a Pagar</t>
  </si>
  <si>
    <t>Gerente X</t>
  </si>
  <si>
    <t>Seguridad X</t>
  </si>
  <si>
    <t>Cientifico Labo.</t>
  </si>
  <si>
    <t>Total Sueldos en ARS</t>
  </si>
  <si>
    <t>Total Sueldos en USD</t>
  </si>
  <si>
    <t>Total Empleados</t>
  </si>
  <si>
    <t>VENTAS</t>
  </si>
  <si>
    <t>MES 1</t>
  </si>
  <si>
    <t xml:space="preserve">Sus. Basic </t>
  </si>
  <si>
    <t>Sus. Platinum</t>
  </si>
  <si>
    <t>Enterprice</t>
  </si>
  <si>
    <t>Sus. USD35</t>
  </si>
  <si>
    <t>Sus. USD60</t>
  </si>
  <si>
    <t>Enterprice (2500)</t>
  </si>
  <si>
    <t>Total de Ingresos Por Venta</t>
  </si>
  <si>
    <t>COSTOS VARIABLES</t>
  </si>
  <si>
    <t>Servicio Transaccional</t>
  </si>
  <si>
    <t>e-mail Transaccional</t>
  </si>
  <si>
    <t>Comisiones Vendedor</t>
  </si>
  <si>
    <t>Varios</t>
  </si>
  <si>
    <t>MARGEN BRUTO</t>
  </si>
  <si>
    <t>COSTO VARIABLES</t>
  </si>
  <si>
    <t>Gast. Administrativos</t>
  </si>
  <si>
    <t>Oficina (Cowork)</t>
  </si>
  <si>
    <t>Abogado</t>
  </si>
  <si>
    <t>Contador</t>
  </si>
  <si>
    <t>Banco</t>
  </si>
  <si>
    <t>Seguros</t>
  </si>
  <si>
    <t>Gastos beneficios RRHH</t>
  </si>
  <si>
    <t>Insmos de Oficina</t>
  </si>
  <si>
    <t>Alta de sociedad</t>
  </si>
  <si>
    <t>Sueldos</t>
  </si>
  <si>
    <t>Viaticos Ejecutivos</t>
  </si>
  <si>
    <t>Software de Adm (ERP, Contable)</t>
  </si>
  <si>
    <t>Servicio de ofimática</t>
  </si>
  <si>
    <t>TOTAL GASTOS ADMINISTRATIVOS:</t>
  </si>
  <si>
    <t>Gast. Operativos</t>
  </si>
  <si>
    <t>Bienes de Uso Tech</t>
  </si>
  <si>
    <t>Bienes de uso General</t>
  </si>
  <si>
    <t>Infraestructura de Hosting y Plataformas</t>
  </si>
  <si>
    <t>Herramientas de Dev y Control</t>
  </si>
  <si>
    <t>VPN</t>
  </si>
  <si>
    <t>Open AI</t>
  </si>
  <si>
    <t>TOTAL GASTOS OPRATIVOS:</t>
  </si>
  <si>
    <t>Gast. Comerciales</t>
  </si>
  <si>
    <t>Viáticos</t>
  </si>
  <si>
    <t>Publicidad</t>
  </si>
  <si>
    <t>Eventos y Ferias</t>
  </si>
  <si>
    <t>Merchandisign</t>
  </si>
  <si>
    <t>Agencia de Marketing</t>
  </si>
  <si>
    <t>Diseño de marca</t>
  </si>
  <si>
    <t>Web</t>
  </si>
  <si>
    <t>Registro de marca</t>
  </si>
  <si>
    <t>Registo de Autor</t>
  </si>
  <si>
    <t>Comisiones</t>
  </si>
  <si>
    <t>CRM</t>
  </si>
  <si>
    <t>TOTAL GASTOS COMERCIALES:</t>
  </si>
  <si>
    <t>TOTAL GASTOS FIJOS</t>
  </si>
  <si>
    <t>RESULTADO OPERATIVO (EBITDA)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</si>
</sst>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.00_);_(* \(#,##0.00\);_(* &quot;-&quot;??_);_(@_)"/>
    <numFmt numFmtId="166" formatCode="_([$USD]\ * #,##0_);_([$USD]\ * \(#,##0\);_([$USD]\ * &quot;-&quot;??_);_(@_)"/>
    <numFmt numFmtId="167" formatCode="_(* #,##0_);_(* \(#,##0\);_(* &quot;-&quot;??_);_(@_)"/>
    <numFmt numFmtId="168" formatCode="_([$USD]\ * #,##0.00_);_([$USD]\ * \(#,##0.00\);_([$USD]\ * &quot;-&quot;??_);_(@_)"/>
    <numFmt numFmtId="169" formatCode="_([$USD]\ * #,##0_);_([$USD]\ * \(#,##0\);_([$USD]\ * &quot;-&quot;_);_(@_)"/>
  </numFmts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6"/>
      <color theme="0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1" xfId="0" applyNumberFormat="1" applyBorder="1"/>
    <xf numFmtId="0" fontId="0" fillId="0" borderId="4" xfId="0" applyBorder="1" applyAlignment="1">
      <alignment horizontal="right"/>
    </xf>
    <xf numFmtId="166" fontId="0" fillId="0" borderId="5" xfId="0" applyNumberFormat="1" applyBorder="1"/>
    <xf numFmtId="0" fontId="0" fillId="0" borderId="6" xfId="0" applyBorder="1" applyAlignment="1">
      <alignment horizontal="right"/>
    </xf>
    <xf numFmtId="166" fontId="0" fillId="0" borderId="7" xfId="0" applyNumberFormat="1" applyBorder="1"/>
    <xf numFmtId="0" fontId="0" fillId="0" borderId="8" xfId="0" applyBorder="1"/>
    <xf numFmtId="0" fontId="3" fillId="0" borderId="9" xfId="0" applyFont="1" applyBorder="1" applyAlignment="1">
      <alignment horizontal="center"/>
    </xf>
    <xf numFmtId="0" fontId="0" fillId="3" borderId="12" xfId="0" applyFill="1" applyBorder="1" applyAlignment="1">
      <alignment horizontal="right"/>
    </xf>
    <xf numFmtId="0" fontId="0" fillId="3" borderId="13" xfId="0" applyFill="1" applyBorder="1" applyAlignment="1">
      <alignment horizontal="right"/>
    </xf>
    <xf numFmtId="0" fontId="0" fillId="4" borderId="1" xfId="0" applyFill="1" applyBorder="1"/>
    <xf numFmtId="166" fontId="5" fillId="5" borderId="1" xfId="0" applyNumberFormat="1" applyFont="1" applyFill="1" applyBorder="1"/>
    <xf numFmtId="166" fontId="6" fillId="6" borderId="1" xfId="0" applyNumberFormat="1" applyFont="1" applyFill="1" applyBorder="1"/>
    <xf numFmtId="0" fontId="3" fillId="7" borderId="12" xfId="0" applyFont="1" applyFill="1" applyBorder="1" applyAlignment="1">
      <alignment horizontal="right"/>
    </xf>
    <xf numFmtId="167" fontId="0" fillId="0" borderId="1" xfId="1" applyNumberFormat="1" applyFont="1" applyBorder="1"/>
    <xf numFmtId="0" fontId="0" fillId="0" borderId="5" xfId="0" applyBorder="1"/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14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right"/>
    </xf>
    <xf numFmtId="166" fontId="5" fillId="5" borderId="5" xfId="0" applyNumberFormat="1" applyFont="1" applyFill="1" applyBorder="1"/>
    <xf numFmtId="0" fontId="3" fillId="4" borderId="4" xfId="0" applyFont="1" applyFill="1" applyBorder="1"/>
    <xf numFmtId="0" fontId="3" fillId="4" borderId="5" xfId="0" applyFont="1" applyFill="1" applyBorder="1" applyAlignment="1">
      <alignment horizontal="center"/>
    </xf>
    <xf numFmtId="0" fontId="0" fillId="0" borderId="15" xfId="0" applyBorder="1" applyAlignment="1">
      <alignment horizontal="right"/>
    </xf>
    <xf numFmtId="0" fontId="6" fillId="6" borderId="4" xfId="0" applyFont="1" applyFill="1" applyBorder="1" applyAlignment="1">
      <alignment horizontal="right"/>
    </xf>
    <xf numFmtId="166" fontId="6" fillId="6" borderId="5" xfId="0" applyNumberFormat="1" applyFont="1" applyFill="1" applyBorder="1"/>
    <xf numFmtId="0" fontId="3" fillId="0" borderId="16" xfId="0" applyFont="1" applyBorder="1" applyAlignment="1">
      <alignment horizontal="center"/>
    </xf>
    <xf numFmtId="0" fontId="0" fillId="4" borderId="5" xfId="0" applyFill="1" applyBorder="1"/>
    <xf numFmtId="166" fontId="0" fillId="0" borderId="5" xfId="0" applyNumberFormat="1" applyBorder="1" applyAlignment="1">
      <alignment horizontal="center"/>
    </xf>
    <xf numFmtId="0" fontId="6" fillId="8" borderId="17" xfId="0" applyFont="1" applyFill="1" applyBorder="1" applyAlignment="1">
      <alignment horizontal="right"/>
    </xf>
    <xf numFmtId="166" fontId="6" fillId="8" borderId="18" xfId="0" applyNumberFormat="1" applyFont="1" applyFill="1" applyBorder="1"/>
    <xf numFmtId="166" fontId="6" fillId="8" borderId="19" xfId="0" applyNumberFormat="1" applyFont="1" applyFill="1" applyBorder="1"/>
    <xf numFmtId="167" fontId="0" fillId="9" borderId="13" xfId="1" applyNumberFormat="1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0" fillId="0" borderId="20" xfId="0" applyBorder="1"/>
    <xf numFmtId="10" fontId="0" fillId="0" borderId="20" xfId="0" applyNumberFormat="1" applyBorder="1"/>
    <xf numFmtId="168" fontId="0" fillId="0" borderId="20" xfId="0" applyNumberFormat="1" applyBorder="1"/>
    <xf numFmtId="0" fontId="0" fillId="0" borderId="24" xfId="0" applyBorder="1"/>
    <xf numFmtId="10" fontId="0" fillId="0" borderId="24" xfId="0" applyNumberFormat="1" applyBorder="1"/>
    <xf numFmtId="168" fontId="0" fillId="0" borderId="24" xfId="0" applyNumberFormat="1" applyBorder="1"/>
    <xf numFmtId="0" fontId="7" fillId="10" borderId="21" xfId="0" applyFont="1" applyFill="1" applyBorder="1" applyAlignment="1">
      <alignment horizontal="center" vertical="center"/>
    </xf>
    <xf numFmtId="0" fontId="7" fillId="10" borderId="22" xfId="0" applyFont="1" applyFill="1" applyBorder="1" applyAlignment="1">
      <alignment horizontal="center" vertical="center"/>
    </xf>
    <xf numFmtId="0" fontId="7" fillId="10" borderId="23" xfId="0" applyFont="1" applyFill="1" applyBorder="1" applyAlignment="1">
      <alignment horizontal="center" vertical="center"/>
    </xf>
    <xf numFmtId="0" fontId="7" fillId="5" borderId="0" xfId="0" applyFont="1" applyFill="1"/>
    <xf numFmtId="164" fontId="0" fillId="0" borderId="0" xfId="0" applyNumberFormat="1"/>
    <xf numFmtId="164" fontId="7" fillId="11" borderId="0" xfId="0" applyNumberFormat="1" applyFont="1" applyFill="1"/>
    <xf numFmtId="164" fontId="7" fillId="5" borderId="0" xfId="0" applyNumberFormat="1" applyFont="1" applyFill="1"/>
    <xf numFmtId="0" fontId="2" fillId="12" borderId="0" xfId="0" applyFont="1" applyFill="1"/>
    <xf numFmtId="169" fontId="2" fillId="12" borderId="0" xfId="0" applyNumberFormat="1" applyFont="1" applyFill="1"/>
    <xf numFmtId="0" fontId="8" fillId="12" borderId="0" xfId="0" applyFont="1" applyFill="1" applyAlignment="1">
      <alignment horizontal="center"/>
    </xf>
    <xf numFmtId="0" fontId="7" fillId="0" borderId="15" xfId="0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5C6C9-FB36-4F86-9961-23A62221FC84}">
  <dimension ref="A1:D23"/>
  <sheetViews>
    <sheetView workbookViewId="0">
      <selection activeCell="B2" sqref="B2"/>
    </sheetView>
  </sheetViews>
  <sheetFormatPr defaultRowHeight="15.75"/>
  <cols>
    <col min="1" max="1" width="14.875" bestFit="1" customWidth="1"/>
    <col min="2" max="2" width="18.125" bestFit="1" customWidth="1"/>
    <col min="4" max="4" width="12.5" bestFit="1" customWidth="1"/>
  </cols>
  <sheetData>
    <row r="1" spans="1:4">
      <c r="A1" s="46" t="s">
        <v>0</v>
      </c>
      <c r="B1" s="47" t="s">
        <v>1</v>
      </c>
      <c r="C1" s="47" t="s">
        <v>2</v>
      </c>
      <c r="D1" s="48" t="s">
        <v>3</v>
      </c>
    </row>
    <row r="2" spans="1:4">
      <c r="A2" s="43" t="s">
        <v>4</v>
      </c>
      <c r="B2" s="43" t="s">
        <v>5</v>
      </c>
      <c r="C2" s="44">
        <v>0.04</v>
      </c>
      <c r="D2" s="45">
        <v>0</v>
      </c>
    </row>
    <row r="3" spans="1:4">
      <c r="A3" s="40" t="s">
        <v>4</v>
      </c>
      <c r="B3" s="40" t="s">
        <v>6</v>
      </c>
      <c r="C3" s="41">
        <v>0.21</v>
      </c>
      <c r="D3" s="42">
        <v>0</v>
      </c>
    </row>
    <row r="4" spans="1:4">
      <c r="A4" s="40" t="s">
        <v>4</v>
      </c>
      <c r="B4" s="40" t="s">
        <v>7</v>
      </c>
      <c r="C4" s="41">
        <v>1.2E-2</v>
      </c>
      <c r="D4" s="42">
        <v>0</v>
      </c>
    </row>
    <row r="5" spans="1:4">
      <c r="A5" s="40" t="s">
        <v>8</v>
      </c>
      <c r="B5" s="40" t="s">
        <v>9</v>
      </c>
      <c r="C5" s="41">
        <v>0.06</v>
      </c>
      <c r="D5" s="42">
        <v>0</v>
      </c>
    </row>
    <row r="6" spans="1:4">
      <c r="A6" s="40" t="s">
        <v>8</v>
      </c>
      <c r="B6" s="40" t="s">
        <v>10</v>
      </c>
      <c r="C6" s="41">
        <v>2.5000000000000001E-2</v>
      </c>
      <c r="D6" s="42">
        <v>0</v>
      </c>
    </row>
    <row r="7" spans="1:4">
      <c r="A7" s="40" t="s">
        <v>11</v>
      </c>
      <c r="B7" s="40" t="s">
        <v>12</v>
      </c>
      <c r="C7" s="41">
        <v>0</v>
      </c>
      <c r="D7" s="42">
        <v>1200</v>
      </c>
    </row>
    <row r="8" spans="1:4">
      <c r="A8" s="40" t="s">
        <v>11</v>
      </c>
      <c r="B8" s="40" t="s">
        <v>13</v>
      </c>
      <c r="C8" s="41">
        <v>0</v>
      </c>
      <c r="D8" s="42">
        <v>500</v>
      </c>
    </row>
    <row r="9" spans="1:4">
      <c r="A9" s="40"/>
      <c r="B9" s="40"/>
      <c r="C9" s="41"/>
      <c r="D9" s="42"/>
    </row>
    <row r="10" spans="1:4">
      <c r="A10" s="40"/>
      <c r="B10" s="40"/>
      <c r="C10" s="41"/>
      <c r="D10" s="42"/>
    </row>
    <row r="11" spans="1:4">
      <c r="A11" s="40"/>
      <c r="B11" s="40"/>
      <c r="C11" s="41"/>
      <c r="D11" s="42"/>
    </row>
    <row r="12" spans="1:4">
      <c r="A12" s="40"/>
      <c r="B12" s="40"/>
      <c r="C12" s="41"/>
      <c r="D12" s="42"/>
    </row>
    <row r="13" spans="1:4">
      <c r="A13" s="40"/>
      <c r="B13" s="40"/>
      <c r="C13" s="41"/>
      <c r="D13" s="42"/>
    </row>
    <row r="14" spans="1:4">
      <c r="A14" s="40"/>
      <c r="B14" s="40"/>
      <c r="C14" s="41"/>
      <c r="D14" s="42"/>
    </row>
    <row r="15" spans="1:4">
      <c r="A15" s="40"/>
      <c r="B15" s="40"/>
      <c r="C15" s="41"/>
      <c r="D15" s="42"/>
    </row>
    <row r="16" spans="1:4">
      <c r="A16" s="40"/>
      <c r="B16" s="40"/>
      <c r="C16" s="41"/>
      <c r="D16" s="42"/>
    </row>
    <row r="17" spans="1:4">
      <c r="A17" s="40"/>
      <c r="B17" s="40"/>
      <c r="C17" s="41"/>
      <c r="D17" s="42"/>
    </row>
    <row r="18" spans="1:4">
      <c r="A18" s="40"/>
      <c r="B18" s="40"/>
      <c r="C18" s="41"/>
      <c r="D18" s="42"/>
    </row>
    <row r="19" spans="1:4">
      <c r="A19" s="40"/>
      <c r="B19" s="40"/>
      <c r="C19" s="41"/>
      <c r="D19" s="42"/>
    </row>
    <row r="20" spans="1:4">
      <c r="A20" s="40"/>
      <c r="B20" s="40"/>
      <c r="C20" s="41"/>
      <c r="D20" s="42"/>
    </row>
    <row r="21" spans="1:4">
      <c r="A21" s="40"/>
      <c r="B21" s="40"/>
      <c r="C21" s="41"/>
      <c r="D21" s="42"/>
    </row>
    <row r="22" spans="1:4">
      <c r="A22" s="40"/>
      <c r="B22" s="40"/>
      <c r="C22" s="41"/>
      <c r="D22" s="42"/>
    </row>
    <row r="23" spans="1:4">
      <c r="A23" s="40"/>
      <c r="B23" s="40"/>
      <c r="C23" s="41"/>
      <c r="D23" s="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B1AD-602D-4BB0-ACCE-77910CB08EA0}">
  <dimension ref="A1:B8"/>
  <sheetViews>
    <sheetView workbookViewId="0">
      <selection activeCell="B26" sqref="B26"/>
    </sheetView>
  </sheetViews>
  <sheetFormatPr defaultRowHeight="15.75"/>
  <cols>
    <col min="1" max="1" width="35.375" bestFit="1" customWidth="1"/>
    <col min="2" max="2" width="7.375" bestFit="1" customWidth="1"/>
  </cols>
  <sheetData>
    <row r="1" spans="1:2">
      <c r="A1" s="10" t="s">
        <v>14</v>
      </c>
      <c r="B1" s="11">
        <v>1200</v>
      </c>
    </row>
    <row r="3" spans="1:2">
      <c r="A3" s="36" t="s">
        <v>15</v>
      </c>
      <c r="B3" s="37"/>
    </row>
    <row r="4" spans="1:2">
      <c r="A4" s="8"/>
      <c r="B4" s="9" t="s">
        <v>16</v>
      </c>
    </row>
    <row r="5" spans="1:2">
      <c r="A5" s="4" t="s">
        <v>17</v>
      </c>
      <c r="B5" s="5"/>
    </row>
    <row r="6" spans="1:2">
      <c r="A6" s="4" t="s">
        <v>18</v>
      </c>
      <c r="B6" s="5">
        <v>50</v>
      </c>
    </row>
    <row r="7" spans="1:2">
      <c r="A7" s="6" t="s">
        <v>19</v>
      </c>
      <c r="B7" s="7">
        <v>5</v>
      </c>
    </row>
    <row r="8" spans="1:2">
      <c r="A8" s="15" t="s">
        <v>20</v>
      </c>
      <c r="B8" s="35">
        <f>((B5/(B6-B7)))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80BA-C5A9-475E-A0DC-911689792273}">
  <dimension ref="A1:L23"/>
  <sheetViews>
    <sheetView workbookViewId="0">
      <selection activeCell="C31" sqref="C31:C32"/>
    </sheetView>
  </sheetViews>
  <sheetFormatPr defaultRowHeight="15.75"/>
  <cols>
    <col min="1" max="1" width="18" bestFit="1" customWidth="1"/>
    <col min="2" max="2" width="17" bestFit="1" customWidth="1"/>
    <col min="3" max="3" width="10.625" bestFit="1" customWidth="1"/>
    <col min="4" max="4" width="11.625" bestFit="1" customWidth="1"/>
    <col min="9" max="9" width="11.625" bestFit="1" customWidth="1"/>
  </cols>
  <sheetData>
    <row r="1" spans="1:12">
      <c r="A1" s="55" t="s">
        <v>21</v>
      </c>
      <c r="B1" s="55" t="s">
        <v>22</v>
      </c>
      <c r="C1" s="55" t="s">
        <v>23</v>
      </c>
      <c r="D1" s="55" t="s">
        <v>24</v>
      </c>
      <c r="E1" s="55" t="s">
        <v>25</v>
      </c>
      <c r="F1" s="55" t="s">
        <v>26</v>
      </c>
      <c r="G1" s="55" t="s">
        <v>27</v>
      </c>
      <c r="H1" s="55" t="s">
        <v>28</v>
      </c>
      <c r="I1" s="55" t="s">
        <v>17</v>
      </c>
      <c r="J1" s="55" t="s">
        <v>29</v>
      </c>
      <c r="K1" s="55" t="s">
        <v>30</v>
      </c>
      <c r="L1" s="38"/>
    </row>
    <row r="2" spans="1:12">
      <c r="A2" t="s">
        <v>31</v>
      </c>
      <c r="B2" s="2" t="s">
        <v>32</v>
      </c>
      <c r="C2">
        <v>1</v>
      </c>
      <c r="D2">
        <v>2</v>
      </c>
      <c r="I2">
        <f>+G2+F29+E2+D2+C2</f>
        <v>3</v>
      </c>
    </row>
    <row r="3" spans="1:12">
      <c r="B3" s="39" t="s">
        <v>33</v>
      </c>
      <c r="C3" s="50">
        <v>1000000</v>
      </c>
      <c r="D3" s="50">
        <v>1000000</v>
      </c>
      <c r="E3" s="50"/>
      <c r="F3" s="50"/>
      <c r="G3" s="50"/>
      <c r="H3" s="50"/>
      <c r="I3" s="50">
        <f t="shared" ref="I3:I20" si="0">+G3+F30+E3+D3+C3</f>
        <v>2000000</v>
      </c>
    </row>
    <row r="4" spans="1:12">
      <c r="B4" s="2" t="s">
        <v>34</v>
      </c>
      <c r="C4" s="50">
        <f>+C3*1.45</f>
        <v>1450000</v>
      </c>
      <c r="D4" s="50">
        <f>+D3*1.45</f>
        <v>1450000</v>
      </c>
      <c r="E4" s="50"/>
      <c r="F4" s="50"/>
      <c r="G4" s="50"/>
      <c r="H4" s="50"/>
      <c r="I4" s="50">
        <f t="shared" si="0"/>
        <v>2900000</v>
      </c>
    </row>
    <row r="5" spans="1:12">
      <c r="B5" s="2" t="s">
        <v>35</v>
      </c>
      <c r="C5" s="51">
        <f>+C4*C2</f>
        <v>1450000</v>
      </c>
      <c r="D5" s="51">
        <f>+D4*D2</f>
        <v>2900000</v>
      </c>
      <c r="E5" s="51"/>
      <c r="F5" s="51"/>
      <c r="G5" s="51"/>
      <c r="H5" s="51"/>
      <c r="I5" s="51">
        <f t="shared" si="0"/>
        <v>4350000</v>
      </c>
    </row>
    <row r="6" spans="1:12">
      <c r="A6" t="s">
        <v>36</v>
      </c>
      <c r="B6" s="2" t="s">
        <v>32</v>
      </c>
      <c r="C6">
        <v>1</v>
      </c>
      <c r="D6">
        <v>3</v>
      </c>
      <c r="I6">
        <f t="shared" si="0"/>
        <v>4</v>
      </c>
    </row>
    <row r="7" spans="1:12">
      <c r="B7" s="39" t="s">
        <v>33</v>
      </c>
      <c r="C7" s="50">
        <v>1000000</v>
      </c>
      <c r="D7" s="50">
        <v>1000000</v>
      </c>
      <c r="E7" s="50"/>
      <c r="F7" s="50"/>
      <c r="G7" s="50"/>
      <c r="H7" s="50"/>
      <c r="I7" s="50">
        <f t="shared" si="0"/>
        <v>2000000</v>
      </c>
    </row>
    <row r="8" spans="1:12">
      <c r="B8" s="2" t="s">
        <v>34</v>
      </c>
      <c r="C8" s="50">
        <f>+C7*1.45</f>
        <v>1450000</v>
      </c>
      <c r="D8" s="50">
        <f>+D7*1.45</f>
        <v>1450000</v>
      </c>
      <c r="E8" s="50"/>
      <c r="F8" s="50"/>
      <c r="G8" s="50"/>
      <c r="H8" s="50"/>
      <c r="I8" s="50">
        <f t="shared" si="0"/>
        <v>2900000</v>
      </c>
    </row>
    <row r="9" spans="1:12">
      <c r="B9" s="2" t="s">
        <v>35</v>
      </c>
      <c r="C9" s="51">
        <f>+C8*C6</f>
        <v>1450000</v>
      </c>
      <c r="D9" s="51">
        <f>+D8*D6</f>
        <v>4350000</v>
      </c>
      <c r="E9" s="51"/>
      <c r="F9" s="51"/>
      <c r="G9" s="51"/>
      <c r="H9" s="51"/>
      <c r="I9" s="51">
        <f t="shared" si="0"/>
        <v>5800000</v>
      </c>
    </row>
    <row r="10" spans="1:12">
      <c r="A10" t="s">
        <v>37</v>
      </c>
      <c r="B10" s="2" t="s">
        <v>32</v>
      </c>
      <c r="C10">
        <v>1</v>
      </c>
      <c r="D10">
        <v>1</v>
      </c>
      <c r="I10">
        <f t="shared" si="0"/>
        <v>2</v>
      </c>
    </row>
    <row r="11" spans="1:12">
      <c r="B11" s="39" t="s">
        <v>33</v>
      </c>
      <c r="C11" s="50">
        <v>1000000</v>
      </c>
      <c r="D11" s="50">
        <v>1000000</v>
      </c>
      <c r="E11" s="50"/>
      <c r="F11" s="50"/>
      <c r="G11" s="50"/>
      <c r="H11" s="50"/>
      <c r="I11" s="50">
        <f t="shared" si="0"/>
        <v>2000000</v>
      </c>
    </row>
    <row r="12" spans="1:12">
      <c r="B12" s="2" t="s">
        <v>34</v>
      </c>
      <c r="C12" s="50">
        <f>+C11*1.45</f>
        <v>1450000</v>
      </c>
      <c r="D12" s="50">
        <f>+D11*1.45</f>
        <v>1450000</v>
      </c>
      <c r="E12" s="50"/>
      <c r="F12" s="50"/>
      <c r="G12" s="50"/>
      <c r="H12" s="50"/>
      <c r="I12" s="50">
        <f t="shared" si="0"/>
        <v>2900000</v>
      </c>
    </row>
    <row r="13" spans="1:12">
      <c r="B13" s="2" t="s">
        <v>35</v>
      </c>
      <c r="C13" s="51">
        <f>+C12*C10</f>
        <v>1450000</v>
      </c>
      <c r="D13" s="51">
        <f>+D12*D10</f>
        <v>1450000</v>
      </c>
      <c r="E13" s="51"/>
      <c r="F13" s="51"/>
      <c r="G13" s="51"/>
      <c r="H13" s="51"/>
      <c r="I13" s="51">
        <f t="shared" si="0"/>
        <v>2900000</v>
      </c>
    </row>
    <row r="14" spans="1:12">
      <c r="A14" t="s">
        <v>38</v>
      </c>
      <c r="B14" s="2" t="s">
        <v>32</v>
      </c>
      <c r="C14">
        <v>1</v>
      </c>
      <c r="D14">
        <v>2</v>
      </c>
      <c r="I14">
        <f t="shared" si="0"/>
        <v>3</v>
      </c>
    </row>
    <row r="15" spans="1:12">
      <c r="B15" s="39" t="s">
        <v>33</v>
      </c>
      <c r="C15" s="50">
        <v>1000000</v>
      </c>
      <c r="D15" s="50">
        <v>1000000</v>
      </c>
      <c r="E15" s="50"/>
      <c r="F15" s="50"/>
      <c r="G15" s="50"/>
      <c r="H15" s="50"/>
      <c r="I15" s="50">
        <f t="shared" si="0"/>
        <v>2000000</v>
      </c>
    </row>
    <row r="16" spans="1:12">
      <c r="B16" s="2" t="s">
        <v>34</v>
      </c>
      <c r="C16" s="50">
        <f>+C15*1.45</f>
        <v>1450000</v>
      </c>
      <c r="D16" s="50">
        <f>+D15*1.45</f>
        <v>1450000</v>
      </c>
      <c r="E16" s="50"/>
      <c r="F16" s="50"/>
      <c r="G16" s="50"/>
      <c r="H16" s="50"/>
      <c r="I16" s="50">
        <f t="shared" si="0"/>
        <v>2900000</v>
      </c>
    </row>
    <row r="17" spans="1:9">
      <c r="B17" s="2" t="s">
        <v>35</v>
      </c>
      <c r="C17" s="51">
        <f>+C16*C14</f>
        <v>1450000</v>
      </c>
      <c r="D17" s="51">
        <f>+D16*D14</f>
        <v>2900000</v>
      </c>
      <c r="E17" s="51"/>
      <c r="F17" s="51"/>
      <c r="G17" s="51"/>
      <c r="H17" s="51"/>
      <c r="I17" s="51">
        <f t="shared" si="0"/>
        <v>4350000</v>
      </c>
    </row>
    <row r="18" spans="1:9">
      <c r="B18" s="2"/>
      <c r="C18" s="2"/>
      <c r="D18" s="2"/>
      <c r="E18" s="2"/>
      <c r="F18" s="2"/>
      <c r="G18" s="2"/>
      <c r="H18" s="2"/>
      <c r="I18" s="2">
        <f t="shared" si="0"/>
        <v>0</v>
      </c>
    </row>
    <row r="19" spans="1:9">
      <c r="A19" s="49" t="s">
        <v>39</v>
      </c>
      <c r="B19" s="49"/>
      <c r="C19" s="52">
        <f>+C17+C13+C9+C5</f>
        <v>5800000</v>
      </c>
      <c r="D19" s="52">
        <f>+D17+D13+D9+D5</f>
        <v>11600000</v>
      </c>
      <c r="E19" s="52"/>
      <c r="F19" s="52"/>
      <c r="G19" s="52"/>
      <c r="H19" s="52"/>
      <c r="I19" s="52">
        <f t="shared" si="0"/>
        <v>17400000</v>
      </c>
    </row>
    <row r="20" spans="1:9">
      <c r="A20" s="53" t="s">
        <v>40</v>
      </c>
      <c r="B20" s="53"/>
      <c r="C20" s="54">
        <f>+C19/1430</f>
        <v>4055.9440559440559</v>
      </c>
      <c r="D20" s="54">
        <f>+D19/1430</f>
        <v>8111.8881118881118</v>
      </c>
      <c r="E20" s="54"/>
      <c r="F20" s="54"/>
      <c r="G20" s="54"/>
      <c r="H20" s="54"/>
      <c r="I20" s="54">
        <f t="shared" si="0"/>
        <v>12167.832167832168</v>
      </c>
    </row>
    <row r="23" spans="1:9">
      <c r="A23" s="38" t="s">
        <v>41</v>
      </c>
      <c r="B23" s="38"/>
      <c r="C23" s="38">
        <f>+C14+C10+C6+C2</f>
        <v>4</v>
      </c>
      <c r="D23" s="38">
        <f>+D14+D10+D6+D2</f>
        <v>8</v>
      </c>
      <c r="E23" s="38">
        <f t="shared" ref="E23:I23" si="1">+E14+E10+E6+E2</f>
        <v>0</v>
      </c>
      <c r="F23" s="38">
        <f t="shared" si="1"/>
        <v>0</v>
      </c>
      <c r="G23" s="38">
        <f t="shared" si="1"/>
        <v>0</v>
      </c>
      <c r="H23" s="38">
        <f t="shared" si="1"/>
        <v>0</v>
      </c>
      <c r="I23" s="38">
        <f t="shared" si="1"/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BAC6-F60E-6A42-893D-1ADEA175AACF}">
  <dimension ref="A1:C56"/>
  <sheetViews>
    <sheetView tabSelected="1" topLeftCell="A10" zoomScale="90" workbookViewId="0">
      <selection activeCell="M8" sqref="M8"/>
    </sheetView>
  </sheetViews>
  <sheetFormatPr defaultColWidth="11" defaultRowHeight="15.75"/>
  <cols>
    <col min="1" max="1" width="37" bestFit="1" customWidth="1"/>
    <col min="2" max="2" width="15.75" bestFit="1" customWidth="1"/>
    <col min="3" max="3" width="18" customWidth="1"/>
  </cols>
  <sheetData>
    <row r="1" spans="1:3">
      <c r="A1" s="19" t="s">
        <v>42</v>
      </c>
      <c r="B1" s="20" t="s">
        <v>43</v>
      </c>
      <c r="C1" s="21" t="s">
        <v>24</v>
      </c>
    </row>
    <row r="2" spans="1:3">
      <c r="A2" s="4" t="s">
        <v>44</v>
      </c>
      <c r="B2" s="16">
        <v>200</v>
      </c>
      <c r="C2" s="17">
        <v>2000</v>
      </c>
    </row>
    <row r="3" spans="1:3">
      <c r="A3" s="4" t="s">
        <v>45</v>
      </c>
      <c r="B3" s="16">
        <v>100</v>
      </c>
      <c r="C3" s="17">
        <v>650</v>
      </c>
    </row>
    <row r="4" spans="1:3">
      <c r="A4" s="4" t="s">
        <v>46</v>
      </c>
      <c r="B4" s="16">
        <v>5</v>
      </c>
      <c r="C4" s="17">
        <f t="shared" ref="C3:C7" si="0">+B4*1.07</f>
        <v>5.3500000000000005</v>
      </c>
    </row>
    <row r="5" spans="1:3">
      <c r="A5" s="4" t="s">
        <v>47</v>
      </c>
      <c r="B5" s="3">
        <f>+B2*35</f>
        <v>7000</v>
      </c>
      <c r="C5" s="3">
        <f>+C2*35</f>
        <v>70000</v>
      </c>
    </row>
    <row r="6" spans="1:3">
      <c r="A6" s="4" t="s">
        <v>48</v>
      </c>
      <c r="B6" s="3">
        <f>+B3*60</f>
        <v>6000</v>
      </c>
      <c r="C6" s="3">
        <f>+C3*60</f>
        <v>39000</v>
      </c>
    </row>
    <row r="7" spans="1:3">
      <c r="A7" s="4" t="s">
        <v>49</v>
      </c>
      <c r="B7" s="3">
        <f>+B4*2500</f>
        <v>12500</v>
      </c>
      <c r="C7" s="3">
        <f>+C4*2500</f>
        <v>13375.000000000002</v>
      </c>
    </row>
    <row r="8" spans="1:3" ht="18.75">
      <c r="A8" s="22" t="s">
        <v>50</v>
      </c>
      <c r="B8" s="13">
        <f>+B5+B6+B7</f>
        <v>25500</v>
      </c>
      <c r="C8" s="23">
        <f>+C5+C6+C7</f>
        <v>122375</v>
      </c>
    </row>
    <row r="9" spans="1:3">
      <c r="A9" s="24" t="s">
        <v>51</v>
      </c>
      <c r="B9" s="18" t="s">
        <v>43</v>
      </c>
      <c r="C9" s="25" t="s">
        <v>24</v>
      </c>
    </row>
    <row r="10" spans="1:3">
      <c r="A10" s="4" t="s">
        <v>5</v>
      </c>
      <c r="B10" s="3">
        <f>+B8*Tabla!$C$2</f>
        <v>1020</v>
      </c>
      <c r="C10" s="5">
        <f>+B10*1.07</f>
        <v>1091.4000000000001</v>
      </c>
    </row>
    <row r="11" spans="1:3">
      <c r="A11" s="4" t="s">
        <v>52</v>
      </c>
      <c r="B11" s="3">
        <f>+B8*Tabla!$C$5</f>
        <v>1530</v>
      </c>
      <c r="C11" s="5">
        <f t="shared" ref="C11:C15" si="1">+B11*1.07</f>
        <v>1637.1000000000001</v>
      </c>
    </row>
    <row r="12" spans="1:3">
      <c r="A12" s="4" t="s">
        <v>53</v>
      </c>
      <c r="B12" s="3">
        <v>200</v>
      </c>
      <c r="C12" s="5">
        <f t="shared" si="1"/>
        <v>214</v>
      </c>
    </row>
    <row r="13" spans="1:3">
      <c r="A13" s="4" t="s">
        <v>54</v>
      </c>
      <c r="B13" s="3">
        <f>+B7*(0.1)</f>
        <v>1250</v>
      </c>
      <c r="C13" s="5">
        <f t="shared" si="1"/>
        <v>1337.5</v>
      </c>
    </row>
    <row r="14" spans="1:3">
      <c r="A14" s="26" t="s">
        <v>55</v>
      </c>
      <c r="B14" s="3">
        <v>3000</v>
      </c>
      <c r="C14" s="5">
        <f t="shared" si="1"/>
        <v>3210</v>
      </c>
    </row>
    <row r="15" spans="1:3" ht="18.75">
      <c r="A15" s="22" t="s">
        <v>50</v>
      </c>
      <c r="B15" s="13">
        <f>+SUM(B10:B14)</f>
        <v>7000</v>
      </c>
      <c r="C15" s="23">
        <f>+SUM(C10:C14)</f>
        <v>7490</v>
      </c>
    </row>
    <row r="16" spans="1:3" ht="21">
      <c r="A16" s="27" t="s">
        <v>56</v>
      </c>
      <c r="B16" s="14">
        <f>+B8-B15</f>
        <v>18500</v>
      </c>
      <c r="C16" s="28">
        <f>+C8-C15</f>
        <v>114885</v>
      </c>
    </row>
    <row r="17" spans="1:3">
      <c r="A17" s="56" t="s">
        <v>57</v>
      </c>
      <c r="B17" s="1" t="s">
        <v>43</v>
      </c>
      <c r="C17" s="29" t="s">
        <v>24</v>
      </c>
    </row>
    <row r="18" spans="1:3">
      <c r="A18" s="24" t="s">
        <v>58</v>
      </c>
      <c r="B18" s="12"/>
      <c r="C18" s="30"/>
    </row>
    <row r="19" spans="1:3">
      <c r="A19" s="4" t="s">
        <v>59</v>
      </c>
      <c r="B19" s="3">
        <f>350*'Tabla Empleados'!$C$23</f>
        <v>1400</v>
      </c>
      <c r="C19" s="31">
        <f>+B19</f>
        <v>1400</v>
      </c>
    </row>
    <row r="20" spans="1:3">
      <c r="A20" s="4" t="s">
        <v>60</v>
      </c>
      <c r="B20" s="3">
        <v>150</v>
      </c>
      <c r="C20" s="31">
        <f>+B20</f>
        <v>150</v>
      </c>
    </row>
    <row r="21" spans="1:3">
      <c r="A21" s="4" t="s">
        <v>61</v>
      </c>
      <c r="B21" s="3">
        <v>150</v>
      </c>
      <c r="C21" s="31">
        <f>+B21</f>
        <v>150</v>
      </c>
    </row>
    <row r="22" spans="1:3">
      <c r="A22" s="4" t="s">
        <v>62</v>
      </c>
      <c r="B22" s="3">
        <v>50</v>
      </c>
      <c r="C22" s="31">
        <f>+B22</f>
        <v>50</v>
      </c>
    </row>
    <row r="23" spans="1:3">
      <c r="A23" s="4" t="s">
        <v>63</v>
      </c>
      <c r="B23" s="3">
        <v>100</v>
      </c>
      <c r="C23" s="31">
        <f>+B23</f>
        <v>100</v>
      </c>
    </row>
    <row r="24" spans="1:3">
      <c r="A24" s="4" t="s">
        <v>64</v>
      </c>
      <c r="B24" s="3">
        <f>((30000*11)+(4000*11*22)+(32000*11)+(400000*11)+(12*30))/'PUNTO DE EQUILIBRIO'!$B$1</f>
        <v>5041.9666666666662</v>
      </c>
      <c r="C24" s="31">
        <f>+B24</f>
        <v>5041.9666666666662</v>
      </c>
    </row>
    <row r="25" spans="1:3">
      <c r="A25" s="4" t="s">
        <v>65</v>
      </c>
      <c r="B25" s="3">
        <f>100000/'PUNTO DE EQUILIBRIO'!B1</f>
        <v>83.333333333333329</v>
      </c>
      <c r="C25" s="31">
        <f>+B25</f>
        <v>83.333333333333329</v>
      </c>
    </row>
    <row r="26" spans="1:3">
      <c r="A26" s="4" t="s">
        <v>66</v>
      </c>
      <c r="B26" s="3">
        <f>1000000/'PUNTO DE EQUILIBRIO'!B1</f>
        <v>833.33333333333337</v>
      </c>
      <c r="C26" s="17">
        <v>0</v>
      </c>
    </row>
    <row r="27" spans="1:3" ht="15.95" customHeight="1">
      <c r="A27" s="4" t="s">
        <v>67</v>
      </c>
      <c r="B27" s="3">
        <f>((2*4000)+(1*1500))*1.65</f>
        <v>15675</v>
      </c>
      <c r="C27" s="31">
        <f>+B27</f>
        <v>15675</v>
      </c>
    </row>
    <row r="28" spans="1:3">
      <c r="A28" s="4" t="s">
        <v>68</v>
      </c>
      <c r="B28" s="3">
        <v>800</v>
      </c>
      <c r="C28" s="31">
        <f>+B28</f>
        <v>800</v>
      </c>
    </row>
    <row r="29" spans="1:3">
      <c r="A29" s="4" t="s">
        <v>69</v>
      </c>
      <c r="B29" s="3">
        <f>7*50</f>
        <v>350</v>
      </c>
      <c r="C29" s="31">
        <f>+B29</f>
        <v>350</v>
      </c>
    </row>
    <row r="30" spans="1:3">
      <c r="A30" s="4" t="s">
        <v>70</v>
      </c>
      <c r="B30" s="3">
        <f>11*20</f>
        <v>220</v>
      </c>
      <c r="C30" s="31">
        <f>+B30</f>
        <v>220</v>
      </c>
    </row>
    <row r="31" spans="1:3" ht="18.75">
      <c r="A31" s="22" t="s">
        <v>71</v>
      </c>
      <c r="B31" s="13">
        <f>SUM(B19:B29)</f>
        <v>24633.633333333331</v>
      </c>
      <c r="C31" s="23">
        <f>SUM(C19:C29)</f>
        <v>23800.3</v>
      </c>
    </row>
    <row r="32" spans="1:3">
      <c r="A32" s="24" t="s">
        <v>72</v>
      </c>
      <c r="B32" s="12"/>
      <c r="C32" s="30"/>
    </row>
    <row r="33" spans="1:3">
      <c r="A33" s="4" t="s">
        <v>73</v>
      </c>
      <c r="B33" s="3">
        <f>('Tabla Empleados'!$C$23*2500)+(100*11)+(900*5)+(400*7)</f>
        <v>18400</v>
      </c>
      <c r="C33" s="17">
        <v>0</v>
      </c>
    </row>
    <row r="34" spans="1:3">
      <c r="A34" s="4" t="s">
        <v>74</v>
      </c>
      <c r="B34" s="3">
        <v>300</v>
      </c>
      <c r="C34" s="31">
        <f>+B34</f>
        <v>300</v>
      </c>
    </row>
    <row r="35" spans="1:3">
      <c r="A35" s="4" t="s">
        <v>75</v>
      </c>
      <c r="B35" s="3">
        <f>(50+(5*30))</f>
        <v>200</v>
      </c>
      <c r="C35" s="31">
        <f>+B35</f>
        <v>200</v>
      </c>
    </row>
    <row r="36" spans="1:3">
      <c r="A36" s="4" t="s">
        <v>67</v>
      </c>
      <c r="B36" s="3">
        <f>((1*4000)+(7*2500))*1.65</f>
        <v>35475</v>
      </c>
      <c r="C36" s="31">
        <f>+B36</f>
        <v>35475</v>
      </c>
    </row>
    <row r="37" spans="1:3">
      <c r="A37" s="4" t="s">
        <v>76</v>
      </c>
      <c r="B37" s="3">
        <f>(30*11)+(25*7)</f>
        <v>505</v>
      </c>
      <c r="C37" s="31">
        <f>+B37</f>
        <v>505</v>
      </c>
    </row>
    <row r="38" spans="1:3">
      <c r="A38" s="4" t="s">
        <v>77</v>
      </c>
      <c r="B38" s="3">
        <f>10*13</f>
        <v>130</v>
      </c>
      <c r="C38" s="31">
        <f>+B38</f>
        <v>130</v>
      </c>
    </row>
    <row r="39" spans="1:3">
      <c r="A39" s="4" t="s">
        <v>78</v>
      </c>
      <c r="B39" s="3">
        <v>200</v>
      </c>
      <c r="C39" s="31">
        <f>+B39</f>
        <v>200</v>
      </c>
    </row>
    <row r="40" spans="1:3" ht="18.75">
      <c r="A40" s="22" t="s">
        <v>79</v>
      </c>
      <c r="B40" s="13">
        <f>SUM(B33:B38)</f>
        <v>55010</v>
      </c>
      <c r="C40" s="23">
        <f>SUM(C33:C38)</f>
        <v>36610</v>
      </c>
    </row>
    <row r="41" spans="1:3">
      <c r="A41" s="24" t="s">
        <v>80</v>
      </c>
      <c r="B41" s="12"/>
      <c r="C41" s="30"/>
    </row>
    <row r="42" spans="1:3">
      <c r="A42" s="4" t="s">
        <v>81</v>
      </c>
      <c r="B42" s="3">
        <v>1000</v>
      </c>
      <c r="C42" s="31">
        <f t="shared" ref="C42:C53" si="2">+B42</f>
        <v>1000</v>
      </c>
    </row>
    <row r="43" spans="1:3">
      <c r="A43" s="4" t="s">
        <v>82</v>
      </c>
      <c r="B43" s="3">
        <v>2000</v>
      </c>
      <c r="C43" s="31">
        <v>37000</v>
      </c>
    </row>
    <row r="44" spans="1:3">
      <c r="A44" s="4" t="s">
        <v>83</v>
      </c>
      <c r="B44" s="3">
        <f>(3*6000)/12</f>
        <v>1500</v>
      </c>
      <c r="C44" s="31">
        <f t="shared" si="2"/>
        <v>1500</v>
      </c>
    </row>
    <row r="45" spans="1:3">
      <c r="A45" s="4" t="s">
        <v>84</v>
      </c>
      <c r="B45" s="3">
        <v>300</v>
      </c>
      <c r="C45" s="31">
        <f t="shared" si="2"/>
        <v>300</v>
      </c>
    </row>
    <row r="46" spans="1:3">
      <c r="A46" s="4" t="s">
        <v>85</v>
      </c>
      <c r="B46" s="3">
        <v>2000</v>
      </c>
      <c r="C46" s="31">
        <f t="shared" si="2"/>
        <v>2000</v>
      </c>
    </row>
    <row r="47" spans="1:3">
      <c r="A47" s="4" t="s">
        <v>86</v>
      </c>
      <c r="B47" s="3">
        <v>1000</v>
      </c>
      <c r="C47" s="31">
        <f t="shared" si="2"/>
        <v>1000</v>
      </c>
    </row>
    <row r="48" spans="1:3">
      <c r="A48" s="4" t="s">
        <v>87</v>
      </c>
      <c r="B48" s="3">
        <f>20+140+((60000+40000)/'PUNTO DE EQUILIBRIO'!$B$1)</f>
        <v>243.33333333333331</v>
      </c>
      <c r="C48" s="31">
        <f t="shared" si="2"/>
        <v>243.33333333333331</v>
      </c>
    </row>
    <row r="49" spans="1:3">
      <c r="A49" s="4" t="s">
        <v>88</v>
      </c>
      <c r="B49" s="3">
        <f>+(400000+400000)/'PUNTO DE EQUILIBRIO'!$B$1</f>
        <v>666.66666666666663</v>
      </c>
      <c r="C49" s="31">
        <f t="shared" si="2"/>
        <v>666.66666666666663</v>
      </c>
    </row>
    <row r="50" spans="1:3">
      <c r="A50" s="4" t="s">
        <v>89</v>
      </c>
      <c r="B50" s="3">
        <v>150</v>
      </c>
      <c r="C50" s="31">
        <f t="shared" si="2"/>
        <v>150</v>
      </c>
    </row>
    <row r="51" spans="1:3">
      <c r="A51" s="4" t="s">
        <v>67</v>
      </c>
      <c r="B51" s="3">
        <f>((1*4000)+(2*1500))*1.65</f>
        <v>11550</v>
      </c>
      <c r="C51" s="31">
        <f t="shared" si="2"/>
        <v>11550</v>
      </c>
    </row>
    <row r="52" spans="1:3">
      <c r="A52" s="4" t="s">
        <v>90</v>
      </c>
      <c r="B52" s="3"/>
      <c r="C52" s="31">
        <f t="shared" si="2"/>
        <v>0</v>
      </c>
    </row>
    <row r="53" spans="1:3">
      <c r="A53" s="4" t="s">
        <v>91</v>
      </c>
      <c r="B53" s="3">
        <f>60*5</f>
        <v>300</v>
      </c>
      <c r="C53" s="31">
        <f t="shared" si="2"/>
        <v>300</v>
      </c>
    </row>
    <row r="54" spans="1:3" ht="18.75">
      <c r="A54" s="22" t="s">
        <v>92</v>
      </c>
      <c r="B54" s="13">
        <f>SUM(B42:B53)</f>
        <v>20710</v>
      </c>
      <c r="C54" s="23">
        <f>SUM(C42:C53)</f>
        <v>55710</v>
      </c>
    </row>
    <row r="55" spans="1:3" ht="21">
      <c r="A55" s="27" t="s">
        <v>93</v>
      </c>
      <c r="B55" s="14">
        <f>+B31+B40+B54</f>
        <v>100353.63333333333</v>
      </c>
      <c r="C55" s="28">
        <f>+C31+C40+C54</f>
        <v>116120.3</v>
      </c>
    </row>
    <row r="56" spans="1:3" ht="21">
      <c r="A56" s="32" t="s">
        <v>94</v>
      </c>
      <c r="B56" s="33">
        <f>+B16-B55</f>
        <v>-81853.633333333331</v>
      </c>
      <c r="C56" s="34">
        <f>+C16-C55</f>
        <v>-1235.3000000000029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7862e4-512e-4429-a226-a187e305a192">
      <Terms xmlns="http://schemas.microsoft.com/office/infopath/2007/PartnerControls"/>
    </lcf76f155ced4ddcb4097134ff3c332f>
    <TaxCatchAll xmlns="36ae782e-a2ad-455b-8012-e967b2ff026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93B06E2FB1C843BA170D424CF312B0" ma:contentTypeVersion="11" ma:contentTypeDescription="Crear nuevo documento." ma:contentTypeScope="" ma:versionID="2d40a865c4298265e9f8ee315e465542">
  <xsd:schema xmlns:xsd="http://www.w3.org/2001/XMLSchema" xmlns:xs="http://www.w3.org/2001/XMLSchema" xmlns:p="http://schemas.microsoft.com/office/2006/metadata/properties" xmlns:ns2="3d7862e4-512e-4429-a226-a187e305a192" xmlns:ns3="36ae782e-a2ad-455b-8012-e967b2ff0266" targetNamespace="http://schemas.microsoft.com/office/2006/metadata/properties" ma:root="true" ma:fieldsID="f1aa6ac8ff73ef8b1876d7624e83c6ee" ns2:_="" ns3:_="">
    <xsd:import namespace="3d7862e4-512e-4429-a226-a187e305a192"/>
    <xsd:import namespace="36ae782e-a2ad-455b-8012-e967b2ff0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7862e4-512e-4429-a226-a187e305a1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480f935f-056e-43d0-a9c3-6f0a0280b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ae782e-a2ad-455b-8012-e967b2ff026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4d1db93-7a29-4be0-a9ac-edb0d1c7d390}" ma:internalName="TaxCatchAll" ma:showField="CatchAllData" ma:web="36ae782e-a2ad-455b-8012-e967b2ff0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37FB1F-D92A-4EC1-A208-2250A9F3621D}"/>
</file>

<file path=customXml/itemProps2.xml><?xml version="1.0" encoding="utf-8"?>
<ds:datastoreItem xmlns:ds="http://schemas.openxmlformats.org/officeDocument/2006/customXml" ds:itemID="{A1E1B2FD-F901-4259-8591-81F9113D1C29}"/>
</file>

<file path=customXml/itemProps3.xml><?xml version="1.0" encoding="utf-8"?>
<ds:datastoreItem xmlns:ds="http://schemas.openxmlformats.org/officeDocument/2006/customXml" ds:itemID="{DC71F57A-7F2F-4FA9-BC2F-DAF82AEE40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Ezequiel Pietracupa</dc:creator>
  <cp:keywords/>
  <dc:description/>
  <cp:lastModifiedBy>GARCIA MATIAS HERNAN</cp:lastModifiedBy>
  <cp:revision/>
  <dcterms:created xsi:type="dcterms:W3CDTF">2025-06-12T21:47:29Z</dcterms:created>
  <dcterms:modified xsi:type="dcterms:W3CDTF">2026-05-13T22:37:41Z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0x0101000F93B06E2FB1C843BA170D424CF312B0</vt:lpwstr>
  </property>
  <property fmtid="{D5CDD505-2E9C-101B-9397-08002B2CF9AE}" pid="3" name="MediaServiceImageTags">
    <vt:lpwstr/>
  </property>
</Properties>
</file>